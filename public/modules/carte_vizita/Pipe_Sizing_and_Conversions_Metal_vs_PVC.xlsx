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&amp; IPS PVC Pipes" sheetId="1" state="visible" r:id="rId1"/>
    <sheet xmlns:r="http://schemas.openxmlformats.org/officeDocument/2006/relationships" name="Metric PVC Pipes" sheetId="2" state="visible" r:id="rId2"/>
    <sheet xmlns:r="http://schemas.openxmlformats.org/officeDocument/2006/relationships" name="Side-by-Sid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9.5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i val="1"/>
      <color rgb="00444444"/>
      <sz val="9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  <fill>
      <patternFill patternType="solid">
        <fgColor rgb="0000463F"/>
        <bgColor rgb="0000463F"/>
      </patternFill>
    </fill>
    <fill>
      <patternFill patternType="solid">
        <fgColor rgb="00005B52"/>
        <bgColor rgb="00005B52"/>
      </patternFill>
    </fill>
    <fill>
      <patternFill patternType="solid">
        <fgColor rgb="00F0F6F5"/>
        <bgColor rgb="00F0F6F5"/>
      </patternFill>
    </fill>
    <fill>
      <patternFill patternType="solid">
        <fgColor rgb="003A3A3A"/>
        <bgColor rgb="003A3A3A"/>
      </patternFill>
    </fill>
    <fill>
      <patternFill patternType="solid">
        <fgColor rgb="00595959"/>
        <bgColor rgb="00595959"/>
      </patternFill>
    </fill>
    <fill>
      <patternFill patternType="solid">
        <fgColor rgb="00FFF2CC"/>
        <bgColor rgb="00FFF2CC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000000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4" fillId="10" borderId="2" applyAlignment="1" pivotButton="0" quotePrefix="0" xfId="0">
      <alignment horizontal="right" vertical="center"/>
    </xf>
    <xf numFmtId="165" fontId="4" fillId="1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/>
    </xf>
    <xf numFmtId="164" fontId="5" fillId="11" borderId="2" applyAlignment="1" pivotButton="0" quotePrefix="0" xfId="0">
      <alignment horizontal="right" vertical="center"/>
    </xf>
    <xf numFmtId="165" fontId="5" fillId="11" borderId="2" applyAlignment="1" pivotButton="0" quotePrefix="0" xfId="0">
      <alignment horizontal="right" vertical="center"/>
    </xf>
    <xf numFmtId="0" fontId="6" fillId="11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4" customWidth="1" min="3" max="3"/>
    <col width="28" customWidth="1" min="4" max="4"/>
    <col width="30" customWidth="1" min="5" max="5"/>
  </cols>
  <sheetData>
    <row r="1"/>
    <row r="2" ht="28" customHeight="1">
      <c r="A2" s="1" t="inlineStr">
        <is>
          <t>METAL &amp; IMPERIAL PVC PIPE DIMENSIONS</t>
        </is>
      </c>
    </row>
    <row r="3" ht="18" customHeight="1">
      <c r="A3" s="2" t="inlineStr">
        <is>
          <t>Reference Standards: ASME B36.10M / B36.19M (Steel) &amp; ASTM D1785 (Schedule 40/80 PVC)</t>
        </is>
      </c>
    </row>
    <row r="4" ht="10" customHeight="1"/>
    <row r="5" ht="25" customHeight="1">
      <c r="A5" s="3" t="inlineStr">
        <is>
          <t>NPS (inches)</t>
        </is>
      </c>
      <c r="B5" s="3" t="inlineStr">
        <is>
          <t>DN (metric equivalent)</t>
        </is>
      </c>
      <c r="C5" s="3" t="inlineStr">
        <is>
          <t>Outside Diameter (mm)</t>
        </is>
      </c>
      <c r="D5" s="3" t="inlineStr">
        <is>
          <t>Outside Diameter (inches)</t>
        </is>
      </c>
      <c r="E5" s="3" t="inlineStr">
        <is>
          <t>Standard Reference Sizing</t>
        </is>
      </c>
    </row>
    <row r="6" ht="19" customHeight="1">
      <c r="A6" s="4" t="inlineStr">
        <is>
          <t>1/8"</t>
        </is>
      </c>
      <c r="B6" s="5" t="inlineStr">
        <is>
          <t>DN 6</t>
        </is>
      </c>
      <c r="C6" s="6" t="n">
        <v>10.3</v>
      </c>
      <c r="D6" s="7" t="n">
        <v>0.405</v>
      </c>
      <c r="E6" s="8" t="inlineStr">
        <is>
          <t>ASME B36.10M / ASTM D1785</t>
        </is>
      </c>
    </row>
    <row r="7" ht="19" customHeight="1">
      <c r="A7" s="9" t="inlineStr">
        <is>
          <t>1/4"</t>
        </is>
      </c>
      <c r="B7" s="10" t="inlineStr">
        <is>
          <t>DN 8</t>
        </is>
      </c>
      <c r="C7" s="11" t="n">
        <v>13.7</v>
      </c>
      <c r="D7" s="12" t="n">
        <v>0.54</v>
      </c>
      <c r="E7" s="13" t="inlineStr">
        <is>
          <t>ASME B36.10M / ASTM D1785</t>
        </is>
      </c>
    </row>
    <row r="8" ht="19" customHeight="1">
      <c r="A8" s="4" t="inlineStr">
        <is>
          <t>3/8"</t>
        </is>
      </c>
      <c r="B8" s="5" t="inlineStr">
        <is>
          <t>DN 10</t>
        </is>
      </c>
      <c r="C8" s="6" t="n">
        <v>17.1</v>
      </c>
      <c r="D8" s="7" t="n">
        <v>0.675</v>
      </c>
      <c r="E8" s="8" t="inlineStr">
        <is>
          <t>ASME B36.10M / ASTM D1785</t>
        </is>
      </c>
    </row>
    <row r="9" ht="19" customHeight="1">
      <c r="A9" s="9" t="inlineStr">
        <is>
          <t>1/2"</t>
        </is>
      </c>
      <c r="B9" s="10" t="inlineStr">
        <is>
          <t>DN 15</t>
        </is>
      </c>
      <c r="C9" s="11" t="n">
        <v>21.3</v>
      </c>
      <c r="D9" s="12" t="n">
        <v>0.84</v>
      </c>
      <c r="E9" s="13" t="inlineStr">
        <is>
          <t>ASME B36.10M / ASTM D1785</t>
        </is>
      </c>
    </row>
    <row r="10" ht="19" customHeight="1">
      <c r="A10" s="4" t="inlineStr">
        <is>
          <t>3/4"</t>
        </is>
      </c>
      <c r="B10" s="5" t="inlineStr">
        <is>
          <t>DN 20</t>
        </is>
      </c>
      <c r="C10" s="6" t="n">
        <v>26.7</v>
      </c>
      <c r="D10" s="7" t="n">
        <v>1.05</v>
      </c>
      <c r="E10" s="8" t="inlineStr">
        <is>
          <t>ASME B36.10M / ASTM D1785</t>
        </is>
      </c>
    </row>
    <row r="11" ht="19" customHeight="1">
      <c r="A11" s="9" t="inlineStr">
        <is>
          <t>1"</t>
        </is>
      </c>
      <c r="B11" s="10" t="inlineStr">
        <is>
          <t>DN 25</t>
        </is>
      </c>
      <c r="C11" s="11" t="n">
        <v>33.4</v>
      </c>
      <c r="D11" s="12" t="n">
        <v>1.315</v>
      </c>
      <c r="E11" s="13" t="inlineStr">
        <is>
          <t>ASME B36.10M / ASTM D1785</t>
        </is>
      </c>
    </row>
    <row r="12" ht="19" customHeight="1">
      <c r="A12" s="4" t="inlineStr">
        <is>
          <t>1-1/4"</t>
        </is>
      </c>
      <c r="B12" s="5" t="inlineStr">
        <is>
          <t>DN 32</t>
        </is>
      </c>
      <c r="C12" s="6" t="n">
        <v>42.2</v>
      </c>
      <c r="D12" s="7" t="n">
        <v>1.66</v>
      </c>
      <c r="E12" s="8" t="inlineStr">
        <is>
          <t>ASME B36.10M / ASTM D1785</t>
        </is>
      </c>
    </row>
    <row r="13" ht="19" customHeight="1">
      <c r="A13" s="9" t="inlineStr">
        <is>
          <t>1-1/2"</t>
        </is>
      </c>
      <c r="B13" s="10" t="inlineStr">
        <is>
          <t>DN 40</t>
        </is>
      </c>
      <c r="C13" s="11" t="n">
        <v>48.3</v>
      </c>
      <c r="D13" s="12" t="n">
        <v>1.9</v>
      </c>
      <c r="E13" s="13" t="inlineStr">
        <is>
          <t>ASME B36.10M / ASTM D1785</t>
        </is>
      </c>
    </row>
    <row r="14" ht="19" customHeight="1">
      <c r="A14" s="4" t="inlineStr">
        <is>
          <t>2"</t>
        </is>
      </c>
      <c r="B14" s="5" t="inlineStr">
        <is>
          <t>DN 50</t>
        </is>
      </c>
      <c r="C14" s="6" t="n">
        <v>60.3</v>
      </c>
      <c r="D14" s="7" t="n">
        <v>2.375</v>
      </c>
      <c r="E14" s="8" t="inlineStr">
        <is>
          <t>ASME B36.10M / ASTM D1785</t>
        </is>
      </c>
    </row>
    <row r="15" ht="19" customHeight="1">
      <c r="A15" s="9" t="inlineStr">
        <is>
          <t>2-1/2"</t>
        </is>
      </c>
      <c r="B15" s="10" t="inlineStr">
        <is>
          <t>DN 65</t>
        </is>
      </c>
      <c r="C15" s="11" t="n">
        <v>73</v>
      </c>
      <c r="D15" s="12" t="n">
        <v>2.875</v>
      </c>
      <c r="E15" s="13" t="inlineStr">
        <is>
          <t>ASME B36.10M / ASTM D1785</t>
        </is>
      </c>
    </row>
    <row r="16" ht="19" customHeight="1">
      <c r="A16" s="4" t="inlineStr">
        <is>
          <t>3"</t>
        </is>
      </c>
      <c r="B16" s="5" t="inlineStr">
        <is>
          <t>DN 80</t>
        </is>
      </c>
      <c r="C16" s="6" t="n">
        <v>88.90000000000001</v>
      </c>
      <c r="D16" s="7" t="n">
        <v>3.5</v>
      </c>
      <c r="E16" s="8" t="inlineStr">
        <is>
          <t>ASME B36.10M / ASTM D1785</t>
        </is>
      </c>
    </row>
    <row r="17" ht="19" customHeight="1">
      <c r="A17" s="9" t="inlineStr">
        <is>
          <t>3-1/2"</t>
        </is>
      </c>
      <c r="B17" s="10" t="inlineStr">
        <is>
          <t>DN 90</t>
        </is>
      </c>
      <c r="C17" s="11" t="n">
        <v>101.6</v>
      </c>
      <c r="D17" s="12" t="n">
        <v>4</v>
      </c>
      <c r="E17" s="13" t="inlineStr">
        <is>
          <t>ASME B36.10M / ASTM D1785</t>
        </is>
      </c>
    </row>
    <row r="18" ht="19" customHeight="1">
      <c r="A18" s="4" t="inlineStr">
        <is>
          <t>4"</t>
        </is>
      </c>
      <c r="B18" s="5" t="inlineStr">
        <is>
          <t>DN 100</t>
        </is>
      </c>
      <c r="C18" s="6" t="n">
        <v>114.3</v>
      </c>
      <c r="D18" s="7" t="n">
        <v>4.5</v>
      </c>
      <c r="E18" s="8" t="inlineStr">
        <is>
          <t>ASME B36.10M / ASTM D1785</t>
        </is>
      </c>
    </row>
    <row r="19" ht="19" customHeight="1">
      <c r="A19" s="9" t="inlineStr">
        <is>
          <t>5"</t>
        </is>
      </c>
      <c r="B19" s="10" t="inlineStr">
        <is>
          <t>DN 125</t>
        </is>
      </c>
      <c r="C19" s="11" t="n">
        <v>141.3</v>
      </c>
      <c r="D19" s="12" t="n">
        <v>5.563</v>
      </c>
      <c r="E19" s="13" t="inlineStr">
        <is>
          <t>ASME B36.10M / ASTM D1785</t>
        </is>
      </c>
    </row>
    <row r="20" ht="19" customHeight="1">
      <c r="A20" s="4" t="inlineStr">
        <is>
          <t>6"</t>
        </is>
      </c>
      <c r="B20" s="5" t="inlineStr">
        <is>
          <t>DN 150</t>
        </is>
      </c>
      <c r="C20" s="6" t="n">
        <v>168.3</v>
      </c>
      <c r="D20" s="7" t="n">
        <v>6.625</v>
      </c>
      <c r="E20" s="8" t="inlineStr">
        <is>
          <t>ASME B36.10M / ASTM D1785</t>
        </is>
      </c>
    </row>
    <row r="21" ht="19" customHeight="1">
      <c r="A21" s="9" t="inlineStr">
        <is>
          <t>8"</t>
        </is>
      </c>
      <c r="B21" s="10" t="inlineStr">
        <is>
          <t>DN 200</t>
        </is>
      </c>
      <c r="C21" s="11" t="n">
        <v>219.1</v>
      </c>
      <c r="D21" s="12" t="n">
        <v>8.625</v>
      </c>
      <c r="E21" s="13" t="inlineStr">
        <is>
          <t>ASME B36.10M / ASTM D1785</t>
        </is>
      </c>
    </row>
    <row r="22" ht="19" customHeight="1">
      <c r="A22" s="4" t="inlineStr">
        <is>
          <t>10"</t>
        </is>
      </c>
      <c r="B22" s="5" t="inlineStr">
        <is>
          <t>DN 250</t>
        </is>
      </c>
      <c r="C22" s="6" t="n">
        <v>273</v>
      </c>
      <c r="D22" s="7" t="n">
        <v>10.75</v>
      </c>
      <c r="E22" s="8" t="inlineStr">
        <is>
          <t>ASME B36.10M / ASTM D1785</t>
        </is>
      </c>
    </row>
    <row r="23" ht="19" customHeight="1">
      <c r="A23" s="9" t="inlineStr">
        <is>
          <t>12"</t>
        </is>
      </c>
      <c r="B23" s="10" t="inlineStr">
        <is>
          <t>DN 300</t>
        </is>
      </c>
      <c r="C23" s="11" t="n">
        <v>323.9</v>
      </c>
      <c r="D23" s="12" t="n">
        <v>12.75</v>
      </c>
      <c r="E23" s="13" t="inlineStr">
        <is>
          <t>ASME B36.10M / ASTM D1785</t>
        </is>
      </c>
    </row>
    <row r="24" ht="19" customHeight="1">
      <c r="A24" s="4" t="inlineStr">
        <is>
          <t>14"</t>
        </is>
      </c>
      <c r="B24" s="5" t="inlineStr">
        <is>
          <t>DN 350</t>
        </is>
      </c>
      <c r="C24" s="6" t="n">
        <v>355.6</v>
      </c>
      <c r="D24" s="7" t="n">
        <v>14</v>
      </c>
      <c r="E24" s="8" t="inlineStr">
        <is>
          <t>ASME B36.10M / ASTM D1785</t>
        </is>
      </c>
    </row>
    <row r="25" ht="19" customHeight="1">
      <c r="A25" s="9" t="inlineStr">
        <is>
          <t>16"</t>
        </is>
      </c>
      <c r="B25" s="10" t="inlineStr">
        <is>
          <t>DN 400</t>
        </is>
      </c>
      <c r="C25" s="11" t="n">
        <v>406.4</v>
      </c>
      <c r="D25" s="12" t="n">
        <v>16</v>
      </c>
      <c r="E25" s="13" t="inlineStr">
        <is>
          <t>ASME B36.10M / ASTM D1785</t>
        </is>
      </c>
    </row>
    <row r="26" ht="19" customHeight="1">
      <c r="A26" s="4" t="inlineStr">
        <is>
          <t>18"</t>
        </is>
      </c>
      <c r="B26" s="5" t="inlineStr">
        <is>
          <t>DN 450</t>
        </is>
      </c>
      <c r="C26" s="6" t="n">
        <v>457.2</v>
      </c>
      <c r="D26" s="7" t="n">
        <v>18</v>
      </c>
      <c r="E26" s="8" t="inlineStr">
        <is>
          <t>ASME B36.10M / ASTM D1785</t>
        </is>
      </c>
    </row>
    <row r="27" ht="19" customHeight="1">
      <c r="A27" s="9" t="inlineStr">
        <is>
          <t>20"</t>
        </is>
      </c>
      <c r="B27" s="10" t="inlineStr">
        <is>
          <t>DN 500</t>
        </is>
      </c>
      <c r="C27" s="11" t="n">
        <v>508</v>
      </c>
      <c r="D27" s="12" t="n">
        <v>20</v>
      </c>
      <c r="E27" s="13" t="inlineStr">
        <is>
          <t>ASME B36.10M / ASTM D1785</t>
        </is>
      </c>
    </row>
    <row r="28" ht="19" customHeight="1">
      <c r="A28" s="4" t="inlineStr">
        <is>
          <t>24"</t>
        </is>
      </c>
      <c r="B28" s="5" t="inlineStr">
        <is>
          <t>DN 600</t>
        </is>
      </c>
      <c r="C28" s="6" t="n">
        <v>609.6</v>
      </c>
      <c r="D28" s="7" t="n">
        <v>24</v>
      </c>
      <c r="E28" s="8" t="inlineStr">
        <is>
          <t>ASME B36.10M / ASTM D1785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8" customWidth="1" min="3" max="3"/>
    <col width="25" customWidth="1" min="4" max="4"/>
    <col width="30" customWidth="1" min="5" max="5"/>
  </cols>
  <sheetData>
    <row r="1"/>
    <row r="2" ht="28" customHeight="1">
      <c r="A2" s="14" t="inlineStr">
        <is>
          <t>METRIC PVC PRESSURE PIPE DIMENSIONS</t>
        </is>
      </c>
    </row>
    <row r="3" ht="18" customHeight="1">
      <c r="A3" s="15" t="inlineStr">
        <is>
          <t>Reference Standards: EN ISO 1452 / DIN 8062 (Sized directly by Outside Diameter)</t>
        </is>
      </c>
    </row>
    <row r="4" ht="10" customHeight="1"/>
    <row r="5" ht="25" customHeight="1">
      <c r="A5" s="16" t="inlineStr">
        <is>
          <t>Nominal Size (DN/OD)</t>
        </is>
      </c>
      <c r="B5" s="16" t="inlineStr">
        <is>
          <t>Outside Diameter (mm)</t>
        </is>
      </c>
      <c r="C5" s="16" t="inlineStr">
        <is>
          <t>Outside Diameter (inches)</t>
        </is>
      </c>
      <c r="D5" s="16" t="inlineStr">
        <is>
          <t>Approx. NPS Equivalent</t>
        </is>
      </c>
      <c r="E5" s="16" t="inlineStr">
        <is>
          <t>Standard Reference Sizing</t>
        </is>
      </c>
    </row>
    <row r="6" ht="19" customHeight="1">
      <c r="A6" s="4" t="inlineStr">
        <is>
          <t>d_n 12 mm</t>
        </is>
      </c>
      <c r="B6" s="6" t="n">
        <v>12</v>
      </c>
      <c r="C6" s="7">
        <f>ROUND(B6/25.4, 3)</f>
        <v/>
      </c>
      <c r="D6" s="5" t="inlineStr">
        <is>
          <t>1/4"</t>
        </is>
      </c>
      <c r="E6" s="8" t="inlineStr">
        <is>
          <t>EN ISO 1452 / DIN 8062</t>
        </is>
      </c>
    </row>
    <row r="7" ht="19" customHeight="1">
      <c r="A7" s="17" t="inlineStr">
        <is>
          <t>d_n 16 mm</t>
        </is>
      </c>
      <c r="B7" s="18" t="n">
        <v>16</v>
      </c>
      <c r="C7" s="19">
        <f>ROUND(B7/25.4, 3)</f>
        <v/>
      </c>
      <c r="D7" s="20" t="inlineStr">
        <is>
          <t>3/8"</t>
        </is>
      </c>
      <c r="E7" s="21" t="inlineStr">
        <is>
          <t>EN ISO 1452 / DIN 8062</t>
        </is>
      </c>
    </row>
    <row r="8" ht="19" customHeight="1">
      <c r="A8" s="4" t="inlineStr">
        <is>
          <t>d_n 20 mm</t>
        </is>
      </c>
      <c r="B8" s="6" t="n">
        <v>20</v>
      </c>
      <c r="C8" s="7">
        <f>ROUND(B8/25.4, 3)</f>
        <v/>
      </c>
      <c r="D8" s="5" t="inlineStr">
        <is>
          <t>1/2"</t>
        </is>
      </c>
      <c r="E8" s="8" t="inlineStr">
        <is>
          <t>EN ISO 1452 / DIN 8062</t>
        </is>
      </c>
    </row>
    <row r="9" ht="19" customHeight="1">
      <c r="A9" s="17" t="inlineStr">
        <is>
          <t>d_n 25 mm</t>
        </is>
      </c>
      <c r="B9" s="18" t="n">
        <v>25</v>
      </c>
      <c r="C9" s="19">
        <f>ROUND(B9/25.4, 3)</f>
        <v/>
      </c>
      <c r="D9" s="20" t="inlineStr">
        <is>
          <t>3/4"</t>
        </is>
      </c>
      <c r="E9" s="21" t="inlineStr">
        <is>
          <t>EN ISO 1452 / DIN 8062</t>
        </is>
      </c>
    </row>
    <row r="10" ht="19" customHeight="1">
      <c r="A10" s="4" t="inlineStr">
        <is>
          <t>d_n 32 mm</t>
        </is>
      </c>
      <c r="B10" s="6" t="n">
        <v>32</v>
      </c>
      <c r="C10" s="7">
        <f>ROUND(B10/25.4, 3)</f>
        <v/>
      </c>
      <c r="D10" s="5" t="inlineStr">
        <is>
          <t>1"</t>
        </is>
      </c>
      <c r="E10" s="8" t="inlineStr">
        <is>
          <t>EN ISO 1452 / DIN 8062</t>
        </is>
      </c>
    </row>
    <row r="11" ht="19" customHeight="1">
      <c r="A11" s="17" t="inlineStr">
        <is>
          <t>d_n 40 mm</t>
        </is>
      </c>
      <c r="B11" s="18" t="n">
        <v>40</v>
      </c>
      <c r="C11" s="19">
        <f>ROUND(B11/25.4, 3)</f>
        <v/>
      </c>
      <c r="D11" s="20" t="inlineStr">
        <is>
          <t>1-1/4"</t>
        </is>
      </c>
      <c r="E11" s="21" t="inlineStr">
        <is>
          <t>EN ISO 1452 / DIN 8062</t>
        </is>
      </c>
    </row>
    <row r="12" ht="19" customHeight="1">
      <c r="A12" s="4" t="inlineStr">
        <is>
          <t>d_n 50 mm</t>
        </is>
      </c>
      <c r="B12" s="6" t="n">
        <v>50</v>
      </c>
      <c r="C12" s="7">
        <f>ROUND(B12/25.4, 3)</f>
        <v/>
      </c>
      <c r="D12" s="5" t="inlineStr">
        <is>
          <t>1-1/2"</t>
        </is>
      </c>
      <c r="E12" s="8" t="inlineStr">
        <is>
          <t>EN ISO 1452 / DIN 8062</t>
        </is>
      </c>
    </row>
    <row r="13" ht="19" customHeight="1">
      <c r="A13" s="17" t="inlineStr">
        <is>
          <t>d_n 63 mm</t>
        </is>
      </c>
      <c r="B13" s="18" t="n">
        <v>63</v>
      </c>
      <c r="C13" s="19">
        <f>ROUND(B13/25.4, 3)</f>
        <v/>
      </c>
      <c r="D13" s="20" t="inlineStr">
        <is>
          <t>2"</t>
        </is>
      </c>
      <c r="E13" s="21" t="inlineStr">
        <is>
          <t>EN ISO 1452 / DIN 8062</t>
        </is>
      </c>
    </row>
    <row r="14" ht="19" customHeight="1">
      <c r="A14" s="4" t="inlineStr">
        <is>
          <t>d_n 75 mm</t>
        </is>
      </c>
      <c r="B14" s="6" t="n">
        <v>75</v>
      </c>
      <c r="C14" s="7">
        <f>ROUND(B14/25.4, 3)</f>
        <v/>
      </c>
      <c r="D14" s="5" t="inlineStr">
        <is>
          <t>2-1/2"</t>
        </is>
      </c>
      <c r="E14" s="8" t="inlineStr">
        <is>
          <t>EN ISO 1452 / DIN 8062</t>
        </is>
      </c>
    </row>
    <row r="15" ht="19" customHeight="1">
      <c r="A15" s="17" t="inlineStr">
        <is>
          <t>d_n 90 mm</t>
        </is>
      </c>
      <c r="B15" s="18" t="n">
        <v>90</v>
      </c>
      <c r="C15" s="19">
        <f>ROUND(B15/25.4, 3)</f>
        <v/>
      </c>
      <c r="D15" s="20" t="inlineStr">
        <is>
          <t>3"</t>
        </is>
      </c>
      <c r="E15" s="21" t="inlineStr">
        <is>
          <t>EN ISO 1452 / DIN 8062</t>
        </is>
      </c>
    </row>
    <row r="16" ht="19" customHeight="1">
      <c r="A16" s="4" t="inlineStr">
        <is>
          <t>d_n 110 mm</t>
        </is>
      </c>
      <c r="B16" s="6" t="n">
        <v>110</v>
      </c>
      <c r="C16" s="7">
        <f>ROUND(B16/25.4, 3)</f>
        <v/>
      </c>
      <c r="D16" s="5" t="inlineStr">
        <is>
          <t>4"</t>
        </is>
      </c>
      <c r="E16" s="8" t="inlineStr">
        <is>
          <t>EN ISO 1452 / DIN 8062</t>
        </is>
      </c>
    </row>
    <row r="17" ht="19" customHeight="1">
      <c r="A17" s="17" t="inlineStr">
        <is>
          <t>d_n 125 mm</t>
        </is>
      </c>
      <c r="B17" s="18" t="n">
        <v>125</v>
      </c>
      <c r="C17" s="19">
        <f>ROUND(B17/25.4, 3)</f>
        <v/>
      </c>
      <c r="D17" s="20" t="inlineStr">
        <is>
          <t>4-1/2"</t>
        </is>
      </c>
      <c r="E17" s="21" t="inlineStr">
        <is>
          <t>EN ISO 1452 / DIN 8062</t>
        </is>
      </c>
    </row>
    <row r="18" ht="19" customHeight="1">
      <c r="A18" s="4" t="inlineStr">
        <is>
          <t>d_n 140 mm</t>
        </is>
      </c>
      <c r="B18" s="6" t="n">
        <v>140</v>
      </c>
      <c r="C18" s="7">
        <f>ROUND(B18/25.4, 3)</f>
        <v/>
      </c>
      <c r="D18" s="5" t="inlineStr">
        <is>
          <t>5"</t>
        </is>
      </c>
      <c r="E18" s="8" t="inlineStr">
        <is>
          <t>EN ISO 1452 / DIN 8062</t>
        </is>
      </c>
    </row>
    <row r="19" ht="19" customHeight="1">
      <c r="A19" s="17" t="inlineStr">
        <is>
          <t>d_n 160 mm</t>
        </is>
      </c>
      <c r="B19" s="18" t="n">
        <v>160</v>
      </c>
      <c r="C19" s="19">
        <f>ROUND(B19/25.4, 3)</f>
        <v/>
      </c>
      <c r="D19" s="20" t="inlineStr">
        <is>
          <t>6"</t>
        </is>
      </c>
      <c r="E19" s="21" t="inlineStr">
        <is>
          <t>EN ISO 1452 / DIN 8062</t>
        </is>
      </c>
    </row>
    <row r="20" ht="19" customHeight="1">
      <c r="A20" s="4" t="inlineStr">
        <is>
          <t>d_n 200 mm</t>
        </is>
      </c>
      <c r="B20" s="6" t="n">
        <v>200</v>
      </c>
      <c r="C20" s="7">
        <f>ROUND(B20/25.4, 3)</f>
        <v/>
      </c>
      <c r="D20" s="5" t="inlineStr">
        <is>
          <t>8"</t>
        </is>
      </c>
      <c r="E20" s="8" t="inlineStr">
        <is>
          <t>EN ISO 1452 / DIN 8062</t>
        </is>
      </c>
    </row>
    <row r="21" ht="19" customHeight="1">
      <c r="A21" s="17" t="inlineStr">
        <is>
          <t>d_n 225 mm</t>
        </is>
      </c>
      <c r="B21" s="18" t="n">
        <v>225</v>
      </c>
      <c r="C21" s="19">
        <f>ROUND(B21/25.4, 3)</f>
        <v/>
      </c>
      <c r="D21" s="20" t="inlineStr">
        <is>
          <t>8" (Oversize)</t>
        </is>
      </c>
      <c r="E21" s="21" t="inlineStr">
        <is>
          <t>EN ISO 1452 / DIN 8062</t>
        </is>
      </c>
    </row>
    <row r="22" ht="19" customHeight="1">
      <c r="A22" s="4" t="inlineStr">
        <is>
          <t>d_n 250 mm</t>
        </is>
      </c>
      <c r="B22" s="6" t="n">
        <v>250</v>
      </c>
      <c r="C22" s="7">
        <f>ROUND(B22/25.4, 3)</f>
        <v/>
      </c>
      <c r="D22" s="5" t="inlineStr">
        <is>
          <t>10"</t>
        </is>
      </c>
      <c r="E22" s="8" t="inlineStr">
        <is>
          <t>EN ISO 1452 / DIN 8062</t>
        </is>
      </c>
    </row>
    <row r="23" ht="19" customHeight="1">
      <c r="A23" s="17" t="inlineStr">
        <is>
          <t>d_n 280 mm</t>
        </is>
      </c>
      <c r="B23" s="18" t="n">
        <v>280</v>
      </c>
      <c r="C23" s="19">
        <f>ROUND(B23/25.4, 3)</f>
        <v/>
      </c>
      <c r="D23" s="20" t="inlineStr">
        <is>
          <t>10" (Oversize)</t>
        </is>
      </c>
      <c r="E23" s="21" t="inlineStr">
        <is>
          <t>EN ISO 1452 / DIN 8062</t>
        </is>
      </c>
    </row>
    <row r="24" ht="19" customHeight="1">
      <c r="A24" s="4" t="inlineStr">
        <is>
          <t>d_n 315 mm</t>
        </is>
      </c>
      <c r="B24" s="6" t="n">
        <v>315</v>
      </c>
      <c r="C24" s="7">
        <f>ROUND(B24/25.4, 3)</f>
        <v/>
      </c>
      <c r="D24" s="5" t="inlineStr">
        <is>
          <t>12"</t>
        </is>
      </c>
      <c r="E24" s="8" t="inlineStr">
        <is>
          <t>EN ISO 1452 / DIN 8062</t>
        </is>
      </c>
    </row>
    <row r="25" ht="19" customHeight="1">
      <c r="A25" s="17" t="inlineStr">
        <is>
          <t>d_n 355 mm</t>
        </is>
      </c>
      <c r="B25" s="18" t="n">
        <v>355</v>
      </c>
      <c r="C25" s="19">
        <f>ROUND(B25/25.4, 3)</f>
        <v/>
      </c>
      <c r="D25" s="20" t="inlineStr">
        <is>
          <t>14"</t>
        </is>
      </c>
      <c r="E25" s="21" t="inlineStr">
        <is>
          <t>EN ISO 1452 / DIN 8062</t>
        </is>
      </c>
    </row>
    <row r="26" ht="19" customHeight="1">
      <c r="A26" s="4" t="inlineStr">
        <is>
          <t>d_n 400 mm</t>
        </is>
      </c>
      <c r="B26" s="6" t="n">
        <v>400</v>
      </c>
      <c r="C26" s="7">
        <f>ROUND(B26/25.4, 3)</f>
        <v/>
      </c>
      <c r="D26" s="5" t="inlineStr">
        <is>
          <t>16"</t>
        </is>
      </c>
      <c r="E26" s="8" t="inlineStr">
        <is>
          <t>EN ISO 1452 / DIN 8062</t>
        </is>
      </c>
    </row>
    <row r="27" ht="19" customHeight="1">
      <c r="A27" s="17" t="inlineStr">
        <is>
          <t>d_n 450 mm</t>
        </is>
      </c>
      <c r="B27" s="18" t="n">
        <v>450</v>
      </c>
      <c r="C27" s="19">
        <f>ROUND(B27/25.4, 3)</f>
        <v/>
      </c>
      <c r="D27" s="20" t="inlineStr">
        <is>
          <t>18"</t>
        </is>
      </c>
      <c r="E27" s="21" t="inlineStr">
        <is>
          <t>EN ISO 1452 / DIN 8062</t>
        </is>
      </c>
    </row>
    <row r="28" ht="19" customHeight="1">
      <c r="A28" s="4" t="inlineStr">
        <is>
          <t>d_n 500 mm</t>
        </is>
      </c>
      <c r="B28" s="6" t="n">
        <v>500</v>
      </c>
      <c r="C28" s="7">
        <f>ROUND(B28/25.4, 3)</f>
        <v/>
      </c>
      <c r="D28" s="5" t="inlineStr">
        <is>
          <t>20"</t>
        </is>
      </c>
      <c r="E28" s="8" t="inlineStr">
        <is>
          <t>EN ISO 1452 / DIN 8062</t>
        </is>
      </c>
    </row>
    <row r="29" ht="19" customHeight="1">
      <c r="A29" s="17" t="inlineStr">
        <is>
          <t>d_n 630 mm</t>
        </is>
      </c>
      <c r="B29" s="18" t="n">
        <v>630</v>
      </c>
      <c r="C29" s="19">
        <f>ROUND(B29/25.4, 3)</f>
        <v/>
      </c>
      <c r="D29" s="20" t="inlineStr">
        <is>
          <t>24"</t>
        </is>
      </c>
      <c r="E29" s="21" t="inlineStr">
        <is>
          <t>EN ISO 1452 / DIN 8062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1" customWidth="1" min="5" max="5"/>
    <col width="15" customWidth="1" min="6" max="6"/>
    <col width="15" customWidth="1" min="7" max="7"/>
    <col width="48" customWidth="1" min="8" max="8"/>
  </cols>
  <sheetData>
    <row r="1"/>
    <row r="2" ht="28" customHeight="1">
      <c r="A2" s="22" t="inlineStr">
        <is>
          <t>METAL (IPS) VS. METRIC PVC SIDE-BY-SIDE COMPARISON</t>
        </is>
      </c>
    </row>
    <row r="3" ht="18" customHeight="1">
      <c r="A3" s="23" t="inlineStr">
        <is>
          <t>Crucial for sizing transition joints. Steel and Metric PVC Outside Diameters (OD) DO NOT match.</t>
        </is>
      </c>
    </row>
    <row r="4" ht="10" customHeight="1"/>
    <row r="5" ht="25" customHeight="1">
      <c r="A5" s="24" t="inlineStr">
        <is>
          <t>Nominal Group</t>
        </is>
      </c>
      <c r="B5" s="24" t="inlineStr">
        <is>
          <t>Metal / IPS OD (mm)</t>
        </is>
      </c>
      <c r="C5" s="24" t="inlineStr">
        <is>
          <t>Metal / IPS OD (in)</t>
        </is>
      </c>
      <c r="D5" s="24" t="inlineStr">
        <is>
          <t>Metric PVC OD (mm)</t>
        </is>
      </c>
      <c r="E5" s="24" t="inlineStr">
        <is>
          <t>Metric PVC OD (in)</t>
        </is>
      </c>
      <c r="F5" s="24" t="inlineStr">
        <is>
          <t>OD Diff (mm)</t>
        </is>
      </c>
      <c r="G5" s="24" t="inlineStr">
        <is>
          <t>OD Diff (in)</t>
        </is>
      </c>
      <c r="H5" s="24" t="inlineStr">
        <is>
          <t>Compatibility &amp; Sizing Notes</t>
        </is>
      </c>
    </row>
    <row r="6" ht="22" customHeight="1">
      <c r="A6" s="4" t="inlineStr">
        <is>
          <t>1/4" / DN 8</t>
        </is>
      </c>
      <c r="B6" s="6" t="n">
        <v>13.7</v>
      </c>
      <c r="C6" s="7" t="n">
        <v>0.54</v>
      </c>
      <c r="D6" s="6" t="n">
        <v>12</v>
      </c>
      <c r="E6" s="7">
        <f>ROUND(D6/25.4, 3)</f>
        <v/>
      </c>
      <c r="F6" s="25">
        <f>ROUND(ABS(B6-D6), 1)</f>
        <v/>
      </c>
      <c r="G6" s="26">
        <f>ROUND(ABS(C6-E6), 3)</f>
        <v/>
      </c>
      <c r="H6" s="27" t="inlineStr">
        <is>
          <t>Requires transition adapter. Sizes differ by 1.7 mm.</t>
        </is>
      </c>
    </row>
    <row r="7" ht="22" customHeight="1">
      <c r="A7" s="28" t="inlineStr">
        <is>
          <t>3/8" / DN 10</t>
        </is>
      </c>
      <c r="B7" s="29" t="n">
        <v>17.1</v>
      </c>
      <c r="C7" s="30" t="n">
        <v>0.675</v>
      </c>
      <c r="D7" s="29" t="n">
        <v>16</v>
      </c>
      <c r="E7" s="30">
        <f>ROUND(D7/25.4, 3)</f>
        <v/>
      </c>
      <c r="F7" s="25">
        <f>ROUND(ABS(B7-D7), 1)</f>
        <v/>
      </c>
      <c r="G7" s="26">
        <f>ROUND(ABS(C7-E7), 3)</f>
        <v/>
      </c>
      <c r="H7" s="31" t="inlineStr">
        <is>
          <t>Requires transition adapter. Sizes differ by 1.1 mm.</t>
        </is>
      </c>
    </row>
    <row r="8" ht="22" customHeight="1">
      <c r="A8" s="4" t="inlineStr">
        <is>
          <t>1/2" / DN 15</t>
        </is>
      </c>
      <c r="B8" s="6" t="n">
        <v>21.3</v>
      </c>
      <c r="C8" s="7" t="n">
        <v>0.84</v>
      </c>
      <c r="D8" s="6" t="n">
        <v>20</v>
      </c>
      <c r="E8" s="7">
        <f>ROUND(D8/25.4, 3)</f>
        <v/>
      </c>
      <c r="F8" s="25">
        <f>ROUND(ABS(B8-D8), 1)</f>
        <v/>
      </c>
      <c r="G8" s="26">
        <f>ROUND(ABS(C8-E8), 3)</f>
        <v/>
      </c>
      <c r="H8" s="27" t="inlineStr">
        <is>
          <t>Requires transition adapter. Common conversion size.</t>
        </is>
      </c>
    </row>
    <row r="9" ht="22" customHeight="1">
      <c r="A9" s="28" t="inlineStr">
        <is>
          <t>3/4" / DN 20</t>
        </is>
      </c>
      <c r="B9" s="29" t="n">
        <v>26.7</v>
      </c>
      <c r="C9" s="30" t="n">
        <v>1.05</v>
      </c>
      <c r="D9" s="29" t="n">
        <v>25</v>
      </c>
      <c r="E9" s="30">
        <f>ROUND(D9/25.4, 3)</f>
        <v/>
      </c>
      <c r="F9" s="25">
        <f>ROUND(ABS(B9-D9), 1)</f>
        <v/>
      </c>
      <c r="G9" s="26">
        <f>ROUND(ABS(C9-E9), 3)</f>
        <v/>
      </c>
      <c r="H9" s="31" t="inlineStr">
        <is>
          <t>Requires transition adapter. Common conversion size.</t>
        </is>
      </c>
    </row>
    <row r="10" ht="22" customHeight="1">
      <c r="A10" s="4" t="inlineStr">
        <is>
          <t>1" / DN 25</t>
        </is>
      </c>
      <c r="B10" s="6" t="n">
        <v>33.4</v>
      </c>
      <c r="C10" s="7" t="n">
        <v>1.315</v>
      </c>
      <c r="D10" s="6" t="n">
        <v>32</v>
      </c>
      <c r="E10" s="7">
        <f>ROUND(D10/25.4, 3)</f>
        <v/>
      </c>
      <c r="F10" s="25">
        <f>ROUND(ABS(B10-D10), 1)</f>
        <v/>
      </c>
      <c r="G10" s="26">
        <f>ROUND(ABS(C10-E10), 3)</f>
        <v/>
      </c>
      <c r="H10" s="27" t="inlineStr">
        <is>
          <t>Requires transition adapter. Sizes differ by 1.4 mm.</t>
        </is>
      </c>
    </row>
    <row r="11" ht="22" customHeight="1">
      <c r="A11" s="28" t="inlineStr">
        <is>
          <t>1-1/4" / DN 32</t>
        </is>
      </c>
      <c r="B11" s="29" t="n">
        <v>42.2</v>
      </c>
      <c r="C11" s="30" t="n">
        <v>1.66</v>
      </c>
      <c r="D11" s="29" t="n">
        <v>40</v>
      </c>
      <c r="E11" s="30">
        <f>ROUND(D11/25.4, 3)</f>
        <v/>
      </c>
      <c r="F11" s="25">
        <f>ROUND(ABS(B11-D11), 1)</f>
        <v/>
      </c>
      <c r="G11" s="26">
        <f>ROUND(ABS(C11-E11), 3)</f>
        <v/>
      </c>
      <c r="H11" s="31" t="inlineStr">
        <is>
          <t>Requires transition adapter. Sizes differ by 2.2 mm.</t>
        </is>
      </c>
    </row>
    <row r="12" ht="22" customHeight="1">
      <c r="A12" s="4" t="inlineStr">
        <is>
          <t>1-1/2" / DN 40</t>
        </is>
      </c>
      <c r="B12" s="6" t="n">
        <v>48.3</v>
      </c>
      <c r="C12" s="7" t="n">
        <v>1.9</v>
      </c>
      <c r="D12" s="6" t="n">
        <v>50</v>
      </c>
      <c r="E12" s="7">
        <f>ROUND(D12/25.4, 3)</f>
        <v/>
      </c>
      <c r="F12" s="25">
        <f>ROUND(ABS(B12-D12), 1)</f>
        <v/>
      </c>
      <c r="G12" s="26">
        <f>ROUND(ABS(C12-E12), 3)</f>
        <v/>
      </c>
      <c r="H12" s="27" t="inlineStr">
        <is>
          <t>Requires transition adapter. Metric OD is larger by 1.7 mm.</t>
        </is>
      </c>
    </row>
    <row r="13" ht="22" customHeight="1">
      <c r="A13" s="28" t="inlineStr">
        <is>
          <t>2" / DN 50</t>
        </is>
      </c>
      <c r="B13" s="29" t="n">
        <v>60.3</v>
      </c>
      <c r="C13" s="30" t="n">
        <v>2.375</v>
      </c>
      <c r="D13" s="29" t="n">
        <v>63</v>
      </c>
      <c r="E13" s="30">
        <f>ROUND(D13/25.4, 3)</f>
        <v/>
      </c>
      <c r="F13" s="25">
        <f>ROUND(ABS(B13-D13), 1)</f>
        <v/>
      </c>
      <c r="G13" s="26">
        <f>ROUND(ABS(C13-E13), 3)</f>
        <v/>
      </c>
      <c r="H13" s="31" t="inlineStr">
        <is>
          <t>Very common sizing mismatch! Metric OD is 2.7 mm larger. Adapt via threads/flanges.</t>
        </is>
      </c>
    </row>
    <row r="14" ht="22" customHeight="1">
      <c r="A14" s="4" t="inlineStr">
        <is>
          <t>2-1/2" / DN 65</t>
        </is>
      </c>
      <c r="B14" s="6" t="n">
        <v>73</v>
      </c>
      <c r="C14" s="7" t="n">
        <v>2.875</v>
      </c>
      <c r="D14" s="6" t="n">
        <v>75</v>
      </c>
      <c r="E14" s="7">
        <f>ROUND(D14/25.4, 3)</f>
        <v/>
      </c>
      <c r="F14" s="25">
        <f>ROUND(ABS(B14-D14), 1)</f>
        <v/>
      </c>
      <c r="G14" s="26">
        <f>ROUND(ABS(C14-E14), 3)</f>
        <v/>
      </c>
      <c r="H14" s="27" t="inlineStr">
        <is>
          <t>Requires transition adapter. Metric OD is 2.0 mm larger.</t>
        </is>
      </c>
    </row>
    <row r="15" ht="22" customHeight="1">
      <c r="A15" s="28" t="inlineStr">
        <is>
          <t>3" / DN 80</t>
        </is>
      </c>
      <c r="B15" s="29" t="n">
        <v>88.90000000000001</v>
      </c>
      <c r="C15" s="30" t="n">
        <v>3.5</v>
      </c>
      <c r="D15" s="29" t="n">
        <v>90</v>
      </c>
      <c r="E15" s="30">
        <f>ROUND(D15/25.4, 3)</f>
        <v/>
      </c>
      <c r="F15" s="25">
        <f>ROUND(ABS(B15-D15), 1)</f>
        <v/>
      </c>
      <c r="G15" s="26">
        <f>ROUND(ABS(C15-E15), 3)</f>
        <v/>
      </c>
      <c r="H15" s="31" t="inlineStr">
        <is>
          <t>Requires transition adapter. Metric OD is 1.1 mm larger.</t>
        </is>
      </c>
    </row>
    <row r="16" ht="22" customHeight="1">
      <c r="A16" s="4" t="inlineStr">
        <is>
          <t>4" / DN 100</t>
        </is>
      </c>
      <c r="B16" s="6" t="n">
        <v>114.3</v>
      </c>
      <c r="C16" s="7" t="n">
        <v>4.5</v>
      </c>
      <c r="D16" s="6" t="n">
        <v>110</v>
      </c>
      <c r="E16" s="7">
        <f>ROUND(D16/25.4, 3)</f>
        <v/>
      </c>
      <c r="F16" s="25">
        <f>ROUND(ABS(B16-D16), 1)</f>
        <v/>
      </c>
      <c r="G16" s="26">
        <f>ROUND(ABS(C16-E16), 3)</f>
        <v/>
      </c>
      <c r="H16" s="27" t="inlineStr">
        <is>
          <t>Significant mismatch! Metal is 4.3 mm larger. Transition fittings are mandatory.</t>
        </is>
      </c>
    </row>
    <row r="17" ht="22" customHeight="1">
      <c r="A17" s="28" t="inlineStr">
        <is>
          <t>5" / DN 125</t>
        </is>
      </c>
      <c r="B17" s="29" t="n">
        <v>141.3</v>
      </c>
      <c r="C17" s="30" t="n">
        <v>5.563</v>
      </c>
      <c r="D17" s="29" t="n">
        <v>140</v>
      </c>
      <c r="E17" s="30">
        <f>ROUND(D17/25.4, 3)</f>
        <v/>
      </c>
      <c r="F17" s="25">
        <f>ROUND(ABS(B17-D17), 1)</f>
        <v/>
      </c>
      <c r="G17" s="26">
        <f>ROUND(ABS(C17-E17), 3)</f>
        <v/>
      </c>
      <c r="H17" s="31" t="inlineStr">
        <is>
          <t>Requires transition adapter. Metal OD is 1.3 mm larger.</t>
        </is>
      </c>
    </row>
    <row r="18" ht="22" customHeight="1">
      <c r="A18" s="4" t="inlineStr">
        <is>
          <t>6" / DN 150</t>
        </is>
      </c>
      <c r="B18" s="6" t="n">
        <v>168.3</v>
      </c>
      <c r="C18" s="7" t="n">
        <v>6.625</v>
      </c>
      <c r="D18" s="6" t="n">
        <v>160</v>
      </c>
      <c r="E18" s="7">
        <f>ROUND(D18/25.4, 3)</f>
        <v/>
      </c>
      <c r="F18" s="25">
        <f>ROUND(ABS(B18-D18), 1)</f>
        <v/>
      </c>
      <c r="G18" s="26">
        <f>ROUND(ABS(C18-E18), 3)</f>
        <v/>
      </c>
      <c r="H18" s="27" t="inlineStr">
        <is>
          <t>Significant mismatch! Metal is 8.3 mm larger. Transition fittings are mandatory.</t>
        </is>
      </c>
    </row>
    <row r="19" ht="22" customHeight="1">
      <c r="A19" s="28" t="inlineStr">
        <is>
          <t>8" / DN 200</t>
        </is>
      </c>
      <c r="B19" s="29" t="n">
        <v>219.1</v>
      </c>
      <c r="C19" s="30" t="n">
        <v>8.625</v>
      </c>
      <c r="D19" s="29" t="n">
        <v>200</v>
      </c>
      <c r="E19" s="30">
        <f>ROUND(D19/25.4, 3)</f>
        <v/>
      </c>
      <c r="F19" s="25">
        <f>ROUND(ABS(B19-D19), 1)</f>
        <v/>
      </c>
      <c r="G19" s="26">
        <f>ROUND(ABS(C19-E19), 3)</f>
        <v/>
      </c>
      <c r="H19" s="31" t="inlineStr">
        <is>
          <t>Very large mismatch (19.1 mm). Note: Metric PVC also has OD 225 mm which is closer to metal OD.</t>
        </is>
      </c>
    </row>
    <row r="20" ht="22" customHeight="1">
      <c r="A20" s="4" t="inlineStr">
        <is>
          <t>8" (Alt) / DN 200</t>
        </is>
      </c>
      <c r="B20" s="6" t="n">
        <v>219.1</v>
      </c>
      <c r="C20" s="7" t="n">
        <v>8.625</v>
      </c>
      <c r="D20" s="6" t="n">
        <v>225</v>
      </c>
      <c r="E20" s="7">
        <f>ROUND(D20/25.4, 3)</f>
        <v/>
      </c>
      <c r="F20" s="25">
        <f>ROUND(ABS(B20-D20), 1)</f>
        <v/>
      </c>
      <c r="G20" s="26">
        <f>ROUND(ABS(C20-E20), 3)</f>
        <v/>
      </c>
      <c r="H20" s="27" t="inlineStr">
        <is>
          <t>Metric OD 225 is 5.9 mm larger than Metal OD 219.1.</t>
        </is>
      </c>
    </row>
    <row r="21" ht="22" customHeight="1">
      <c r="A21" s="28" t="inlineStr">
        <is>
          <t>10" / DN 250</t>
        </is>
      </c>
      <c r="B21" s="29" t="n">
        <v>273</v>
      </c>
      <c r="C21" s="30" t="n">
        <v>10.75</v>
      </c>
      <c r="D21" s="29" t="n">
        <v>250</v>
      </c>
      <c r="E21" s="30">
        <f>ROUND(D21/25.4, 3)</f>
        <v/>
      </c>
      <c r="F21" s="25">
        <f>ROUND(ABS(B21-D21), 1)</f>
        <v/>
      </c>
      <c r="G21" s="26">
        <f>ROUND(ABS(C21-E21), 3)</f>
        <v/>
      </c>
      <c r="H21" s="31" t="inlineStr">
        <is>
          <t>Large mismatch (23.0 mm). Note: Metric PVC also has OD 280 mm which is closer.</t>
        </is>
      </c>
    </row>
    <row r="22" ht="22" customHeight="1">
      <c r="A22" s="4" t="inlineStr">
        <is>
          <t>10" (Alt) / DN 250</t>
        </is>
      </c>
      <c r="B22" s="6" t="n">
        <v>273</v>
      </c>
      <c r="C22" s="7" t="n">
        <v>10.75</v>
      </c>
      <c r="D22" s="6" t="n">
        <v>280</v>
      </c>
      <c r="E22" s="7">
        <f>ROUND(D22/25.4, 3)</f>
        <v/>
      </c>
      <c r="F22" s="25">
        <f>ROUND(ABS(B22-D22), 1)</f>
        <v/>
      </c>
      <c r="G22" s="26">
        <f>ROUND(ABS(C22-E22), 3)</f>
        <v/>
      </c>
      <c r="H22" s="27" t="inlineStr">
        <is>
          <t>Metric OD 280 is 7.0 mm larger than Metal OD 273.0.</t>
        </is>
      </c>
    </row>
    <row r="23" ht="22" customHeight="1">
      <c r="A23" s="28" t="inlineStr">
        <is>
          <t>12" / DN 300</t>
        </is>
      </c>
      <c r="B23" s="29" t="n">
        <v>323.9</v>
      </c>
      <c r="C23" s="30" t="n">
        <v>12.75</v>
      </c>
      <c r="D23" s="29" t="n">
        <v>315</v>
      </c>
      <c r="E23" s="30">
        <f>ROUND(D23/25.4, 3)</f>
        <v/>
      </c>
      <c r="F23" s="25">
        <f>ROUND(ABS(B23-D23), 1)</f>
        <v/>
      </c>
      <c r="G23" s="26">
        <f>ROUND(ABS(C23-E23), 3)</f>
        <v/>
      </c>
      <c r="H23" s="31" t="inlineStr">
        <is>
          <t>Mismatch of 8.9 mm. Requires specific transition flanges.</t>
        </is>
      </c>
    </row>
    <row r="24" ht="22" customHeight="1">
      <c r="A24" s="4" t="inlineStr">
        <is>
          <t>14" / DN 350</t>
        </is>
      </c>
      <c r="B24" s="6" t="n">
        <v>355.6</v>
      </c>
      <c r="C24" s="7" t="n">
        <v>14</v>
      </c>
      <c r="D24" s="6" t="n">
        <v>355</v>
      </c>
      <c r="E24" s="7">
        <f>ROUND(D24/25.4, 3)</f>
        <v/>
      </c>
      <c r="F24" s="25">
        <f>ROUND(ABS(B24-D24), 1)</f>
        <v/>
      </c>
      <c r="G24" s="26">
        <f>ROUND(ABS(C24-E24), 3)</f>
        <v/>
      </c>
      <c r="H24" s="27" t="inlineStr">
        <is>
          <t>Extremely close! Only 0.6 mm difference, but still requires material-specific joints.</t>
        </is>
      </c>
    </row>
    <row r="25" ht="22" customHeight="1">
      <c r="A25" s="28" t="inlineStr">
        <is>
          <t>16" / DN 400</t>
        </is>
      </c>
      <c r="B25" s="29" t="n">
        <v>406.4</v>
      </c>
      <c r="C25" s="30" t="n">
        <v>16</v>
      </c>
      <c r="D25" s="29" t="n">
        <v>400</v>
      </c>
      <c r="E25" s="30">
        <f>ROUND(D25/25.4, 3)</f>
        <v/>
      </c>
      <c r="F25" s="25">
        <f>ROUND(ABS(B25-D25), 1)</f>
        <v/>
      </c>
      <c r="G25" s="26">
        <f>ROUND(ABS(C25-E25), 3)</f>
        <v/>
      </c>
      <c r="H25" s="31" t="inlineStr">
        <is>
          <t>Mismatch of 6.4 mm. Transition flanges/couplings required.</t>
        </is>
      </c>
    </row>
    <row r="26" ht="22" customHeight="1">
      <c r="A26" s="4" t="inlineStr">
        <is>
          <t>18" / DN 450</t>
        </is>
      </c>
      <c r="B26" s="6" t="n">
        <v>457.2</v>
      </c>
      <c r="C26" s="7" t="n">
        <v>18</v>
      </c>
      <c r="D26" s="6" t="n">
        <v>450</v>
      </c>
      <c r="E26" s="7">
        <f>ROUND(D26/25.4, 3)</f>
        <v/>
      </c>
      <c r="F26" s="25">
        <f>ROUND(ABS(B26-D26), 1)</f>
        <v/>
      </c>
      <c r="G26" s="26">
        <f>ROUND(ABS(C26-E26), 3)</f>
        <v/>
      </c>
      <c r="H26" s="27" t="inlineStr">
        <is>
          <t>Mismatch of 7.2 mm. Transition fittings required.</t>
        </is>
      </c>
    </row>
    <row r="27" ht="22" customHeight="1">
      <c r="A27" s="28" t="inlineStr">
        <is>
          <t>20" / DN 500</t>
        </is>
      </c>
      <c r="B27" s="29" t="n">
        <v>508</v>
      </c>
      <c r="C27" s="30" t="n">
        <v>20</v>
      </c>
      <c r="D27" s="29" t="n">
        <v>500</v>
      </c>
      <c r="E27" s="30">
        <f>ROUND(D27/25.4, 3)</f>
        <v/>
      </c>
      <c r="F27" s="25">
        <f>ROUND(ABS(B27-D27), 1)</f>
        <v/>
      </c>
      <c r="G27" s="26">
        <f>ROUND(ABS(C27-E27), 3)</f>
        <v/>
      </c>
      <c r="H27" s="31" t="inlineStr">
        <is>
          <t>Mismatch of 8.0 mm. Transition fittings required.</t>
        </is>
      </c>
    </row>
    <row r="28" ht="22" customHeight="1">
      <c r="A28" s="4" t="inlineStr">
        <is>
          <t>24" / DN 600</t>
        </is>
      </c>
      <c r="B28" s="6" t="n">
        <v>609.6</v>
      </c>
      <c r="C28" s="7" t="n">
        <v>24</v>
      </c>
      <c r="D28" s="6" t="n">
        <v>630</v>
      </c>
      <c r="E28" s="7">
        <f>ROUND(D28/25.4, 3)</f>
        <v/>
      </c>
      <c r="F28" s="25">
        <f>ROUND(ABS(B28-D28), 1)</f>
        <v/>
      </c>
      <c r="G28" s="26">
        <f>ROUND(ABS(C28-E28), 3)</f>
        <v/>
      </c>
      <c r="H28" s="27" t="inlineStr">
        <is>
          <t>Large mismatch (20.4 mm). Metric OD is larger.</t>
        </is>
      </c>
    </row>
  </sheetData>
  <mergeCells count="2">
    <mergeCell ref="A3:H3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2026-08-20T09:26:26Z</dcterms:created>
  <dcterms:modified xmlns:dcterms="http://purl.org/dc/terms/" xmlns:xsi="http://www.w3.org/2001/XMLSchema-instance" xsi:type="dcterms:W3CDTF">2026-08-20T09:26:26Z</dcterms:modified>
</cp:coreProperties>
</file>